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bdo" sheetId="1" state="visible" r:id="rId1"/>
    <sheet name="Mode 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18" customWidth="1" min="3" max="3"/>
    <col width="14" customWidth="1" min="4" max="4"/>
    <col width="10" customWidth="1" min="5" max="5"/>
    <col width="24" customWidth="1" min="6" max="6"/>
    <col width="34" customWidth="1" min="7" max="7"/>
    <col width="14" customWidth="1" min="8" max="8"/>
    <col width="38" customWidth="1" min="9" max="9"/>
  </cols>
  <sheetData>
    <row r="1" ht="24" customHeight="1">
      <c r="A1" s="1" t="inlineStr">
        <is>
          <t>Semaine (YYYY-WW)</t>
        </is>
      </c>
      <c r="B1" s="1" t="inlineStr">
        <is>
          <t>URL</t>
        </is>
      </c>
      <c r="C1" s="1" t="inlineStr">
        <is>
          <t>Impressions (GSC)</t>
        </is>
      </c>
      <c r="D1" s="1" t="inlineStr">
        <is>
          <t>Clics (GSC)</t>
        </is>
      </c>
      <c r="E1" s="1" t="inlineStr">
        <is>
          <t>CTR %</t>
        </is>
      </c>
      <c r="F1" s="1" t="inlineStr">
        <is>
          <t>Position moyenne (GSC)</t>
        </is>
      </c>
      <c r="G1" s="1" t="inlineStr">
        <is>
          <t>Conversions formulaire contact (GA4)</t>
        </is>
      </c>
      <c r="H1" s="1" t="inlineStr">
        <is>
          <t>Taux conv/clic %</t>
        </is>
      </c>
      <c r="I1" s="1" t="inlineStr">
        <is>
          <t>Actions SEO de la semaine</t>
        </is>
      </c>
    </row>
    <row r="2">
      <c r="A2" s="2" t="inlineStr">
        <is>
          <t>2026-10</t>
        </is>
      </c>
      <c r="B2" s="2" t="inlineStr">
        <is>
          <t>/amoa-si</t>
        </is>
      </c>
      <c r="C2" s="3" t="n">
        <v>0</v>
      </c>
      <c r="D2" s="3" t="n">
        <v>0</v>
      </c>
      <c r="E2" s="4">
        <f>IF(C2=0,0,D2/C2)</f>
        <v/>
      </c>
      <c r="F2" s="5" t="n">
        <v>0</v>
      </c>
      <c r="G2" s="3" t="n">
        <v>0</v>
      </c>
      <c r="H2" s="4">
        <f>IF(D2=0,0,G2/D2)</f>
        <v/>
      </c>
      <c r="I2" s="2" t="inlineStr"/>
    </row>
    <row r="3">
      <c r="A3" s="2" t="inlineStr">
        <is>
          <t>2026-10</t>
        </is>
      </c>
      <c r="B3" s="2" t="inlineStr">
        <is>
          <t>/rgpd</t>
        </is>
      </c>
      <c r="C3" s="3" t="n">
        <v>0</v>
      </c>
      <c r="D3" s="3" t="n">
        <v>0</v>
      </c>
      <c r="E3" s="4">
        <f>IF(C3=0,0,D3/C3)</f>
        <v/>
      </c>
      <c r="F3" s="5" t="n">
        <v>0</v>
      </c>
      <c r="G3" s="3" t="n">
        <v>0</v>
      </c>
      <c r="H3" s="4">
        <f>IF(D3=0,0,G3/D3)</f>
        <v/>
      </c>
      <c r="I3" s="2" t="inlineStr"/>
    </row>
    <row r="4">
      <c r="A4" s="2" t="inlineStr">
        <is>
          <t>2026-10</t>
        </is>
      </c>
      <c r="B4" s="2" t="inlineStr">
        <is>
          <t>/cyber-securite</t>
        </is>
      </c>
      <c r="C4" s="3" t="n">
        <v>0</v>
      </c>
      <c r="D4" s="3" t="n">
        <v>0</v>
      </c>
      <c r="E4" s="4">
        <f>IF(C4=0,0,D4/C4)</f>
        <v/>
      </c>
      <c r="F4" s="5" t="n">
        <v>0</v>
      </c>
      <c r="G4" s="3" t="n">
        <v>0</v>
      </c>
      <c r="H4" s="4">
        <f>IF(D4=0,0,G4/D4)</f>
        <v/>
      </c>
      <c r="I4" s="2" t="inlineStr"/>
    </row>
    <row r="5">
      <c r="A5" s="2" t="inlineStr">
        <is>
          <t>2026-10</t>
        </is>
      </c>
      <c r="B5" s="2" t="inlineStr">
        <is>
          <t>/conseil-qualite</t>
        </is>
      </c>
      <c r="C5" s="3" t="n">
        <v>0</v>
      </c>
      <c r="D5" s="3" t="n">
        <v>0</v>
      </c>
      <c r="E5" s="4">
        <f>IF(C5=0,0,D5/C5)</f>
        <v/>
      </c>
      <c r="F5" s="5" t="n">
        <v>0</v>
      </c>
      <c r="G5" s="3" t="n">
        <v>0</v>
      </c>
      <c r="H5" s="4">
        <f>IF(D5=0,0,G5/D5)</f>
        <v/>
      </c>
      <c r="I5" s="2" t="inlineStr"/>
    </row>
    <row r="6">
      <c r="A6" s="2" t="inlineStr">
        <is>
          <t>2026-10</t>
        </is>
      </c>
      <c r="B6" s="2" t="inlineStr">
        <is>
          <t>/public-pme-eti</t>
        </is>
      </c>
      <c r="C6" s="3" t="n">
        <v>0</v>
      </c>
      <c r="D6" s="3" t="n">
        <v>0</v>
      </c>
      <c r="E6" s="4">
        <f>IF(C6=0,0,D6/C6)</f>
        <v/>
      </c>
      <c r="F6" s="5" t="n">
        <v>0</v>
      </c>
      <c r="G6" s="3" t="n">
        <v>0</v>
      </c>
      <c r="H6" s="4">
        <f>IF(D6=0,0,G6/D6)</f>
        <v/>
      </c>
      <c r="I6" s="2" t="inlineStr"/>
    </row>
    <row r="7">
      <c r="A7" s="2" t="inlineStr">
        <is>
          <t>2026-10</t>
        </is>
      </c>
      <c r="B7" s="2" t="inlineStr">
        <is>
          <t>/ressources</t>
        </is>
      </c>
      <c r="C7" s="3" t="n">
        <v>0</v>
      </c>
      <c r="D7" s="3" t="n">
        <v>0</v>
      </c>
      <c r="E7" s="4">
        <f>IF(C7=0,0,D7/C7)</f>
        <v/>
      </c>
      <c r="F7" s="5" t="n">
        <v>0</v>
      </c>
      <c r="G7" s="3" t="n">
        <v>0</v>
      </c>
      <c r="H7" s="4">
        <f>IF(D7=0,0,G7/D7)</f>
        <v/>
      </c>
      <c r="I7" s="2" t="inlineStr"/>
    </row>
    <row r="8">
      <c r="A8" s="2" t="inlineStr">
        <is>
          <t>2026-10</t>
        </is>
      </c>
      <c r="B8" s="2" t="inlineStr">
        <is>
          <t>/ressources/registre-traitements-rgpd</t>
        </is>
      </c>
      <c r="C8" s="3" t="n">
        <v>0</v>
      </c>
      <c r="D8" s="3" t="n">
        <v>0</v>
      </c>
      <c r="E8" s="4">
        <f>IF(C8=0,0,D8/C8)</f>
        <v/>
      </c>
      <c r="F8" s="5" t="n">
        <v>0</v>
      </c>
      <c r="G8" s="3" t="n">
        <v>0</v>
      </c>
      <c r="H8" s="4">
        <f>IF(D8=0,0,G8/D8)</f>
        <v/>
      </c>
      <c r="I8" s="2" t="inlineStr"/>
    </row>
    <row r="9">
      <c r="A9" s="2" t="inlineStr">
        <is>
          <t>2026-10</t>
        </is>
      </c>
      <c r="B9" s="2" t="inlineStr">
        <is>
          <t>/ressources/aipd-rgpd-methode</t>
        </is>
      </c>
      <c r="C9" s="3" t="n">
        <v>0</v>
      </c>
      <c r="D9" s="3" t="n">
        <v>0</v>
      </c>
      <c r="E9" s="4">
        <f>IF(C9=0,0,D9/C9)</f>
        <v/>
      </c>
      <c r="F9" s="5" t="n">
        <v>0</v>
      </c>
      <c r="G9" s="3" t="n">
        <v>0</v>
      </c>
      <c r="H9" s="4">
        <f>IF(D9=0,0,G9/D9)</f>
        <v/>
      </c>
      <c r="I9" s="2" t="inlineStr"/>
    </row>
    <row r="10">
      <c r="A10" s="2" t="inlineStr">
        <is>
          <t>2026-10</t>
        </is>
      </c>
      <c r="B10" s="2" t="inlineStr">
        <is>
          <t>/ressources/feuille-route-cyber-pme-eti</t>
        </is>
      </c>
      <c r="C10" s="3" t="n">
        <v>0</v>
      </c>
      <c r="D10" s="3" t="n">
        <v>0</v>
      </c>
      <c r="E10" s="4">
        <f>IF(C10=0,0,D10/C10)</f>
        <v/>
      </c>
      <c r="F10" s="5" t="n">
        <v>0</v>
      </c>
      <c r="G10" s="3" t="n">
        <v>0</v>
      </c>
      <c r="H10" s="4">
        <f>IF(D10=0,0,G10/D10)</f>
        <v/>
      </c>
      <c r="I10" s="2" t="inlineStr"/>
    </row>
    <row r="11">
      <c r="A11" s="2" t="inlineStr">
        <is>
          <t>2026-10</t>
        </is>
      </c>
      <c r="B11" s="2" t="inlineStr">
        <is>
          <t>/ressources/nis2-dora-par-ou-commencer</t>
        </is>
      </c>
      <c r="C11" s="3" t="n">
        <v>0</v>
      </c>
      <c r="D11" s="3" t="n">
        <v>0</v>
      </c>
      <c r="E11" s="4">
        <f>IF(C11=0,0,D11/C11)</f>
        <v/>
      </c>
      <c r="F11" s="5" t="n">
        <v>0</v>
      </c>
      <c r="G11" s="3" t="n">
        <v>0</v>
      </c>
      <c r="H11" s="4">
        <f>IF(D11=0,0,G11/D11)</f>
        <v/>
      </c>
      <c r="I11" s="2" t="inlineStr"/>
    </row>
    <row r="12">
      <c r="A12" s="2" t="inlineStr">
        <is>
          <t>2026-10</t>
        </is>
      </c>
      <c r="B12" s="2" t="inlineStr">
        <is>
          <t>/ressources/indicateurs-qualite-si</t>
        </is>
      </c>
      <c r="C12" s="3" t="n">
        <v>0</v>
      </c>
      <c r="D12" s="3" t="n">
        <v>0</v>
      </c>
      <c r="E12" s="4">
        <f>IF(C12=0,0,D12/C12)</f>
        <v/>
      </c>
      <c r="F12" s="5" t="n">
        <v>0</v>
      </c>
      <c r="G12" s="3" t="n">
        <v>0</v>
      </c>
      <c r="H12" s="4">
        <f>IF(D12=0,0,G12/D12)</f>
        <v/>
      </c>
      <c r="I12" s="2" t="inlineStr"/>
    </row>
    <row r="13">
      <c r="A13" s="2" t="inlineStr">
        <is>
          <t>2026-10</t>
        </is>
      </c>
      <c r="B13" s="2" t="inlineStr">
        <is>
          <t>/ressources/cadrage-projet-amoa-si</t>
        </is>
      </c>
      <c r="C13" s="3" t="n">
        <v>0</v>
      </c>
      <c r="D13" s="3" t="n">
        <v>0</v>
      </c>
      <c r="E13" s="4">
        <f>IF(C13=0,0,D13/C13)</f>
        <v/>
      </c>
      <c r="F13" s="5" t="n">
        <v>0</v>
      </c>
      <c r="G13" s="3" t="n">
        <v>0</v>
      </c>
      <c r="H13" s="4">
        <f>IF(D13=0,0,G13/D13)</f>
        <v/>
      </c>
      <c r="I13" s="2" t="inlineStr"/>
    </row>
    <row r="14">
      <c r="A14" s="2" t="inlineStr">
        <is>
          <t>2026-10</t>
        </is>
      </c>
      <c r="B14" s="2" t="inlineStr">
        <is>
          <t>/ressources/transformation-si-secteur-public</t>
        </is>
      </c>
      <c r="C14" s="3" t="n">
        <v>0</v>
      </c>
      <c r="D14" s="3" t="n">
        <v>0</v>
      </c>
      <c r="E14" s="4">
        <f>IF(C14=0,0,D14/C14)</f>
        <v/>
      </c>
      <c r="F14" s="5" t="n">
        <v>0</v>
      </c>
      <c r="G14" s="3" t="n">
        <v>0</v>
      </c>
      <c r="H14" s="4">
        <f>IF(D14=0,0,G14/D14)</f>
        <v/>
      </c>
      <c r="I14" s="2" t="inlineStr"/>
    </row>
    <row r="15">
      <c r="A15" s="2" t="inlineStr">
        <is>
          <t>2026-10</t>
        </is>
      </c>
      <c r="B15" s="2" t="inlineStr">
        <is>
          <t>/ressources/choisir-cabinet-conseil-amoa-pme-eti</t>
        </is>
      </c>
      <c r="C15" s="3" t="n">
        <v>0</v>
      </c>
      <c r="D15" s="3" t="n">
        <v>0</v>
      </c>
      <c r="E15" s="4">
        <f>IF(C15=0,0,D15/C15)</f>
        <v/>
      </c>
      <c r="F15" s="5" t="n">
        <v>0</v>
      </c>
      <c r="G15" s="3" t="n">
        <v>0</v>
      </c>
      <c r="H15" s="4">
        <f>IF(D15=0,0,G15/D15)</f>
        <v/>
      </c>
      <c r="I15" s="2" t="inlineStr"/>
    </row>
    <row r="16">
      <c r="A16" s="2" t="inlineStr">
        <is>
          <t>TOTAL</t>
        </is>
      </c>
      <c r="B16" s="2" t="n"/>
      <c r="C16" s="3">
        <f>SUM(C2:C15)</f>
        <v/>
      </c>
      <c r="D16" s="3">
        <f>SUM(D2:D15)</f>
        <v/>
      </c>
      <c r="E16" s="4">
        <f>IF(C16=0,0,D16/C16)</f>
        <v/>
      </c>
      <c r="F16" s="5" t="n"/>
      <c r="G16" s="3">
        <f>SUM(G2:G15)</f>
        <v/>
      </c>
      <c r="H16" s="4">
        <f>IF(D16=0,0,G16/D16)</f>
        <v/>
      </c>
      <c r="I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Tracking SEO hebdo - Oling</t>
        </is>
      </c>
    </row>
    <row r="3">
      <c r="A3" t="inlineStr">
        <is>
          <t>1. Chaque lundi, exportez GSC (7 derniers jours) et remplissez Impressions/Clics/Position moyenne.</t>
        </is>
      </c>
    </row>
    <row r="4">
      <c r="A4" t="inlineStr">
        <is>
          <t>2. Renseignez les conversions formulaire contact depuis GA4 (meme periode).</t>
        </is>
      </c>
    </row>
    <row r="5">
      <c r="A5" t="inlineStr">
        <is>
          <t>3. Les colonnes CTR et Taux conv/clic se calculent automatiquement.</t>
        </is>
      </c>
    </row>
    <row r="6">
      <c r="A6" t="inlineStr">
        <is>
          <t>4. Ajoutez les actions SEO menees dans la colonne Actions SEO de la semaine.</t>
        </is>
      </c>
    </row>
    <row r="8">
      <c r="A8" t="inlineStr">
        <is>
          <t>KPIs cibles de pilotage:</t>
        </is>
      </c>
    </row>
    <row r="9">
      <c r="A9" t="inlineStr">
        <is>
          <t>- CTR en hausse sur pages piliers.</t>
        </is>
      </c>
    </row>
    <row r="10">
      <c r="A10" t="inlineStr">
        <is>
          <t>- Position moyenne en amelioration sur mots cles priorites.</t>
        </is>
      </c>
    </row>
    <row r="11">
      <c r="A11" t="inlineStr">
        <is>
          <t>- Conversions contact en hausse sur /amoa-si, /rgpd, /cyber-securite.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2026-03-08T13:33:50Z</dcterms:created>
  <dcterms:modified xsi:type="dcterms:W3CDTF">2026-03-08T13:33:50Z</dcterms:modified>
</cp:coreProperties>
</file>